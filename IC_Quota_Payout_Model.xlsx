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Rep IC Model" sheetId="2" state="visible" r:id="rId4"/>
    <sheet name="Diagnost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<sst xmlns="http://schemas.openxmlformats.org/spreadsheetml/2006/main" count="76" uniqueCount="73">
  <si>
    <t xml:space="preserve">IC Quota &amp; Payout Model — Key Assumptions</t>
  </si>
  <si>
    <t xml:space="preserve">Assumption</t>
  </si>
  <si>
    <t xml:space="preserve">Value</t>
  </si>
  <si>
    <t xml:space="preserve">Source / Note</t>
  </si>
  <si>
    <t xml:space="preserve">Growth target (YoY brand growth applied to quota)</t>
  </si>
  <si>
    <t xml:space="preserve">Company FY target, provided by user</t>
  </si>
  <si>
    <t xml:space="preserve">Base quarterly bonus target ($)</t>
  </si>
  <si>
    <t xml:space="preserve">Illustrative — standard target bonus per rep, provided by user</t>
  </si>
  <si>
    <t xml:space="preserve">Threshold attainment % (min. for any payout)</t>
  </si>
  <si>
    <t xml:space="preserve">Standard pharma IC plan design</t>
  </si>
  <si>
    <t xml:space="preserve">Target attainment % (100% of target bonus)</t>
  </si>
  <si>
    <t xml:space="preserve">Excellence attainment % (payout cap reached)</t>
  </si>
  <si>
    <t xml:space="preserve">Excellence payout cap (% of target bonus)</t>
  </si>
  <si>
    <t xml:space="preserve">Rep-Level Quota, Attainment &amp; Payout Model</t>
  </si>
  <si>
    <t xml:space="preserve">Blue = input data (from segmentation/call-plan pipeline) · Black = live formulas · Edit Assumptions tab to flex the whole model</t>
  </si>
  <si>
    <t xml:space="preserve">Rep ID</t>
  </si>
  <si>
    <t xml:space="preserve"># HCPs</t>
  </si>
  <si>
    <t xml:space="preserve">Territory Potential
(current our-brand claims)</t>
  </si>
  <si>
    <t xml:space="preserve">Quota
(=Potential x Growth Target)</t>
  </si>
  <si>
    <t xml:space="preserve">Actual Claims
(input)</t>
  </si>
  <si>
    <t xml:space="preserve">Attainment %</t>
  </si>
  <si>
    <t xml:space="preserve">Payout % of Target Bonus</t>
  </si>
  <si>
    <t xml:space="preserve">Bonus Payout ($)</t>
  </si>
  <si>
    <t xml:space="preserve">Flag</t>
  </si>
  <si>
    <t xml:space="preserve">REP-001</t>
  </si>
  <si>
    <t xml:space="preserve">REP-002</t>
  </si>
  <si>
    <t xml:space="preserve">REP-003</t>
  </si>
  <si>
    <t xml:space="preserve">REP-004</t>
  </si>
  <si>
    <t xml:space="preserve">REP-005</t>
  </si>
  <si>
    <t xml:space="preserve">REP-006</t>
  </si>
  <si>
    <t xml:space="preserve">REP-007</t>
  </si>
  <si>
    <t xml:space="preserve">REP-008</t>
  </si>
  <si>
    <t xml:space="preserve">REP-009</t>
  </si>
  <si>
    <t xml:space="preserve">REP-010</t>
  </si>
  <si>
    <t xml:space="preserve">REP-011</t>
  </si>
  <si>
    <t xml:space="preserve">REP-012</t>
  </si>
  <si>
    <t xml:space="preserve">REP-013</t>
  </si>
  <si>
    <t xml:space="preserve">REP-014</t>
  </si>
  <si>
    <t xml:space="preserve">REP-015</t>
  </si>
  <si>
    <t xml:space="preserve">REP-016</t>
  </si>
  <si>
    <t xml:space="preserve">REP-017</t>
  </si>
  <si>
    <t xml:space="preserve">REP-018</t>
  </si>
  <si>
    <t xml:space="preserve">REP-019</t>
  </si>
  <si>
    <t xml:space="preserve">REP-020</t>
  </si>
  <si>
    <t xml:space="preserve">REP-021</t>
  </si>
  <si>
    <t xml:space="preserve">REP-022</t>
  </si>
  <si>
    <t xml:space="preserve">REP-023</t>
  </si>
  <si>
    <t xml:space="preserve">REP-024</t>
  </si>
  <si>
    <t xml:space="preserve">REP-025</t>
  </si>
  <si>
    <t xml:space="preserve">REP-026</t>
  </si>
  <si>
    <t xml:space="preserve">REP-027</t>
  </si>
  <si>
    <t xml:space="preserve">REP-028</t>
  </si>
  <si>
    <t xml:space="preserve">REP-029</t>
  </si>
  <si>
    <t xml:space="preserve">REP-030</t>
  </si>
  <si>
    <t xml:space="preserve">REP-031</t>
  </si>
  <si>
    <t xml:space="preserve">REP-032</t>
  </si>
  <si>
    <t xml:space="preserve">REP-033</t>
  </si>
  <si>
    <t xml:space="preserve">REP-034</t>
  </si>
  <si>
    <t xml:space="preserve">REP-035</t>
  </si>
  <si>
    <t xml:space="preserve">REP-036</t>
  </si>
  <si>
    <t xml:space="preserve">REP-037</t>
  </si>
  <si>
    <t xml:space="preserve">REP-038</t>
  </si>
  <si>
    <t xml:space="preserve">REP-039</t>
  </si>
  <si>
    <t xml:space="preserve">TOTAL</t>
  </si>
  <si>
    <t xml:space="preserve">IC Fairness Diagnostics</t>
  </si>
  <si>
    <t xml:space="preserve">Avg Territory Potential per Rep (proxy for median)</t>
  </si>
  <si>
    <t xml:space="preserve">Used as the split point for the over/under-incentivized flag on the Rep IC Model tab (mean used as a robust proxy for median in-formula; see README for exact median)</t>
  </si>
  <si>
    <t xml:space="preserve">Correlation: Territory Potential vs. Attainment %</t>
  </si>
  <si>
    <t xml:space="preserve">Computed in Python from the underlying dataset (see 05_incentive_comp.py). Near 0 = quotas are well difficulty-adjusted.</t>
  </si>
  <si>
    <t xml:space="preserve">Flag Distribution</t>
  </si>
  <si>
    <t xml:space="preserve">Normal</t>
  </si>
  <si>
    <t xml:space="preserve">High performer (hard territory)</t>
  </si>
  <si>
    <t xml:space="preserve">Underperforming (easy territory)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</si>
</sst>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$#,##0"/>
    <numFmt numFmtId="16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0" t="s">
        <v>4</v>
      </c>
      <c r="B4" s="3" t="n">
        <v>1.12</v>
      </c>
      <c r="C4" s="4" t="s">
        <v>5</v>
      </c>
    </row>
    <row r="5" customFormat="false" ht="15" hidden="false" customHeight="false" outlineLevel="0" collapsed="false">
      <c r="A5" s="0" t="s">
        <v>6</v>
      </c>
      <c r="B5" s="5" t="n">
        <v>15000</v>
      </c>
      <c r="C5" s="4" t="s">
        <v>7</v>
      </c>
    </row>
    <row r="6" customFormat="false" ht="15" hidden="false" customHeight="false" outlineLevel="0" collapsed="false">
      <c r="A6" s="0" t="s">
        <v>8</v>
      </c>
      <c r="B6" s="3" t="n">
        <v>0.9</v>
      </c>
      <c r="C6" s="4" t="s">
        <v>9</v>
      </c>
    </row>
    <row r="7" customFormat="false" ht="15" hidden="false" customHeight="false" outlineLevel="0" collapsed="false">
      <c r="A7" s="0" t="s">
        <v>10</v>
      </c>
      <c r="B7" s="3" t="n">
        <v>1</v>
      </c>
      <c r="C7" s="4" t="s">
        <v>9</v>
      </c>
    </row>
    <row r="8" customFormat="false" ht="15" hidden="false" customHeight="false" outlineLevel="0" collapsed="false">
      <c r="A8" s="0" t="s">
        <v>11</v>
      </c>
      <c r="B8" s="3" t="n">
        <v>1.2</v>
      </c>
      <c r="C8" s="4" t="s">
        <v>9</v>
      </c>
    </row>
    <row r="9" customFormat="false" ht="15" hidden="false" customHeight="false" outlineLevel="0" collapsed="false">
      <c r="A9" s="0" t="s">
        <v>12</v>
      </c>
      <c r="B9" s="3" t="n">
        <v>1.25</v>
      </c>
      <c r="C9" s="4" t="s">
        <v>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4" min="3" style="0" width="15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4" customFormat="false" ht="46.25" hidden="false" customHeight="false" outlineLevel="0" collapsed="false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  <c r="H4" s="7" t="s">
        <v>22</v>
      </c>
      <c r="I4" s="7" t="s">
        <v>23</v>
      </c>
    </row>
    <row r="5" customFormat="false" ht="15" hidden="false" customHeight="false" outlineLevel="0" collapsed="false">
      <c r="A5" s="8" t="s">
        <v>24</v>
      </c>
      <c r="B5" s="8" t="n">
        <v>130</v>
      </c>
      <c r="C5" s="8" t="n">
        <v>1249</v>
      </c>
      <c r="D5" s="9" t="n">
        <f aca="false">C5*Assumptions!$B$4</f>
        <v>1398.88</v>
      </c>
      <c r="E5" s="8" t="n">
        <v>1754</v>
      </c>
      <c r="F5" s="10" t="n">
        <f aca="false">IFERROR(E5/D5,0)</f>
        <v>1.25386023104198</v>
      </c>
      <c r="G5" s="10" t="n">
        <f aca="false">IF(F5&lt;Assumptions!$B$6,0,IF(F5&lt;Assumptions!$B$7,0.5+(F5-Assumptions!$B$6)*2.5,IF(F5&lt;Assumptions!$B$8,0.75+(F5-Assumptions!$B$7)*1.25,Assumptions!$B$9)))</f>
        <v>1.25</v>
      </c>
      <c r="H5" s="11" t="n">
        <f aca="false">G5*Assumptions!$B$5</f>
        <v>18750</v>
      </c>
      <c r="I5" s="12" t="str">
        <f aca="false">IF(AND(C5&gt;=Diagnostics!$B$2,F5&lt;0.9),"Underperforming (easy territory)",IF(AND(C5&lt;Diagnostics!$B$2,F5&gt;=1.1),"High performer (hard territory)","Normal"))</f>
        <v>Normal</v>
      </c>
    </row>
    <row r="6" customFormat="false" ht="15" hidden="false" customHeight="false" outlineLevel="0" collapsed="false">
      <c r="A6" s="8" t="s">
        <v>25</v>
      </c>
      <c r="B6" s="8" t="n">
        <v>130</v>
      </c>
      <c r="C6" s="8" t="n">
        <v>911</v>
      </c>
      <c r="D6" s="9" t="n">
        <f aca="false">C6*Assumptions!$B$4</f>
        <v>1020.32</v>
      </c>
      <c r="E6" s="8" t="n">
        <v>949</v>
      </c>
      <c r="F6" s="10" t="n">
        <f aca="false">IFERROR(E6/D6,0)</f>
        <v>0.930100360671162</v>
      </c>
      <c r="G6" s="10" t="n">
        <f aca="false">IF(F6&lt;Assumptions!$B$6,0,IF(F6&lt;Assumptions!$B$7,0.5+(F6-Assumptions!$B$6)*2.5,IF(F6&lt;Assumptions!$B$8,0.75+(F6-Assumptions!$B$7)*1.25,Assumptions!$B$9)))</f>
        <v>0.575250901677905</v>
      </c>
      <c r="H6" s="11" t="n">
        <f aca="false">G6*Assumptions!$B$5</f>
        <v>8628.76352516857</v>
      </c>
      <c r="I6" s="12" t="str">
        <f aca="false">IF(AND(C6&gt;=Diagnostics!$B$2,F6&lt;0.9),"Underperforming (easy territory)",IF(AND(C6&lt;Diagnostics!$B$2,F6&gt;=1.1),"High performer (hard territory)","Normal"))</f>
        <v>Normal</v>
      </c>
    </row>
    <row r="7" customFormat="false" ht="15" hidden="false" customHeight="false" outlineLevel="0" collapsed="false">
      <c r="A7" s="8" t="s">
        <v>26</v>
      </c>
      <c r="B7" s="8" t="n">
        <v>130</v>
      </c>
      <c r="C7" s="8" t="n">
        <v>961</v>
      </c>
      <c r="D7" s="9" t="n">
        <f aca="false">C7*Assumptions!$B$4</f>
        <v>1076.32</v>
      </c>
      <c r="E7" s="8" t="n">
        <v>1082</v>
      </c>
      <c r="F7" s="10" t="n">
        <f aca="false">IFERROR(E7/D7,0)</f>
        <v>1.00527724096923</v>
      </c>
      <c r="G7" s="10" t="n">
        <f aca="false">IF(F7&lt;Assumptions!$B$6,0,IF(F7&lt;Assumptions!$B$7,0.5+(F7-Assumptions!$B$6)*2.5,IF(F7&lt;Assumptions!$B$8,0.75+(F7-Assumptions!$B$7)*1.25,Assumptions!$B$9)))</f>
        <v>0.756596551211535</v>
      </c>
      <c r="H7" s="11" t="n">
        <f aca="false">G7*Assumptions!$B$5</f>
        <v>11348.948268173</v>
      </c>
      <c r="I7" s="12" t="str">
        <f aca="false">IF(AND(C7&gt;=Diagnostics!$B$2,F7&lt;0.9),"Underperforming (easy territory)",IF(AND(C7&lt;Diagnostics!$B$2,F7&gt;=1.1),"High performer (hard territory)","Normal"))</f>
        <v>Normal</v>
      </c>
    </row>
    <row r="8" customFormat="false" ht="15" hidden="false" customHeight="false" outlineLevel="0" collapsed="false">
      <c r="A8" s="8" t="s">
        <v>27</v>
      </c>
      <c r="B8" s="8" t="n">
        <v>130</v>
      </c>
      <c r="C8" s="8" t="n">
        <v>798</v>
      </c>
      <c r="D8" s="9" t="n">
        <f aca="false">C8*Assumptions!$B$4</f>
        <v>893.76</v>
      </c>
      <c r="E8" s="8" t="n">
        <v>948</v>
      </c>
      <c r="F8" s="10" t="n">
        <f aca="false">IFERROR(E8/D8,0)</f>
        <v>1.06068743286788</v>
      </c>
      <c r="G8" s="10" t="n">
        <f aca="false">IF(F8&lt;Assumptions!$B$6,0,IF(F8&lt;Assumptions!$B$7,0.5+(F8-Assumptions!$B$6)*2.5,IF(F8&lt;Assumptions!$B$8,0.75+(F8-Assumptions!$B$7)*1.25,Assumptions!$B$9)))</f>
        <v>0.825859291084855</v>
      </c>
      <c r="H8" s="11" t="n">
        <f aca="false">G8*Assumptions!$B$5</f>
        <v>12387.8893662728</v>
      </c>
      <c r="I8" s="12" t="str">
        <f aca="false">IF(AND(C8&gt;=Diagnostics!$B$2,F8&lt;0.9),"Underperforming (easy territory)",IF(AND(C8&lt;Diagnostics!$B$2,F8&gt;=1.1),"High performer (hard territory)","Normal"))</f>
        <v>Normal</v>
      </c>
    </row>
    <row r="9" customFormat="false" ht="15" hidden="false" customHeight="false" outlineLevel="0" collapsed="false">
      <c r="A9" s="8" t="s">
        <v>28</v>
      </c>
      <c r="B9" s="8" t="n">
        <v>130</v>
      </c>
      <c r="C9" s="8" t="n">
        <v>769</v>
      </c>
      <c r="D9" s="9" t="n">
        <f aca="false">C9*Assumptions!$B$4</f>
        <v>861.28</v>
      </c>
      <c r="E9" s="8" t="n">
        <v>759</v>
      </c>
      <c r="F9" s="10" t="n">
        <f aca="false">IFERROR(E9/D9,0)</f>
        <v>0.881246516812187</v>
      </c>
      <c r="G9" s="10" t="n">
        <f aca="false">IF(F9&lt;Assumptions!$B$6,0,IF(F9&lt;Assumptions!$B$7,0.5+(F9-Assumptions!$B$6)*2.5,IF(F9&lt;Assumptions!$B$8,0.75+(F9-Assumptions!$B$7)*1.25,Assumptions!$B$9)))</f>
        <v>0</v>
      </c>
      <c r="H9" s="11" t="n">
        <f aca="false">G9*Assumptions!$B$5</f>
        <v>0</v>
      </c>
      <c r="I9" s="12" t="str">
        <f aca="false">IF(AND(C9&gt;=Diagnostics!$B$2,F9&lt;0.9),"Underperforming (easy territory)",IF(AND(C9&lt;Diagnostics!$B$2,F9&gt;=1.1),"High performer (hard territory)","Normal"))</f>
        <v>Normal</v>
      </c>
    </row>
    <row r="10" customFormat="false" ht="15" hidden="false" customHeight="false" outlineLevel="0" collapsed="false">
      <c r="A10" s="8" t="s">
        <v>29</v>
      </c>
      <c r="B10" s="8" t="n">
        <v>130</v>
      </c>
      <c r="C10" s="8" t="n">
        <v>1130</v>
      </c>
      <c r="D10" s="9" t="n">
        <f aca="false">C10*Assumptions!$B$4</f>
        <v>1265.6</v>
      </c>
      <c r="E10" s="8" t="n">
        <v>1266</v>
      </c>
      <c r="F10" s="10" t="n">
        <f aca="false">IFERROR(E10/D10,0)</f>
        <v>1.00031605562579</v>
      </c>
      <c r="G10" s="10" t="n">
        <f aca="false">IF(F10&lt;Assumptions!$B$6,0,IF(F10&lt;Assumptions!$B$7,0.5+(F10-Assumptions!$B$6)*2.5,IF(F10&lt;Assumptions!$B$8,0.75+(F10-Assumptions!$B$7)*1.25,Assumptions!$B$9)))</f>
        <v>0.750395069532237</v>
      </c>
      <c r="H10" s="11" t="n">
        <f aca="false">G10*Assumptions!$B$5</f>
        <v>11255.9260429836</v>
      </c>
      <c r="I10" s="12" t="str">
        <f aca="false">IF(AND(C10&gt;=Diagnostics!$B$2,F10&lt;0.9),"Underperforming (easy territory)",IF(AND(C10&lt;Diagnostics!$B$2,F10&gt;=1.1),"High performer (hard territory)","Normal"))</f>
        <v>Normal</v>
      </c>
    </row>
    <row r="11" customFormat="false" ht="15" hidden="false" customHeight="false" outlineLevel="0" collapsed="false">
      <c r="A11" s="8" t="s">
        <v>30</v>
      </c>
      <c r="B11" s="8" t="n">
        <v>130</v>
      </c>
      <c r="C11" s="8" t="n">
        <v>1650</v>
      </c>
      <c r="D11" s="9" t="n">
        <f aca="false">C11*Assumptions!$B$4</f>
        <v>1848</v>
      </c>
      <c r="E11" s="8" t="n">
        <v>1848</v>
      </c>
      <c r="F11" s="10" t="n">
        <f aca="false">IFERROR(E11/D11,0)</f>
        <v>1</v>
      </c>
      <c r="G11" s="10" t="n">
        <f aca="false">IF(F11&lt;Assumptions!$B$6,0,IF(F11&lt;Assumptions!$B$7,0.5+(F11-Assumptions!$B$6)*2.5,IF(F11&lt;Assumptions!$B$8,0.75+(F11-Assumptions!$B$7)*1.25,Assumptions!$B$9)))</f>
        <v>0.75</v>
      </c>
      <c r="H11" s="11" t="n">
        <f aca="false">G11*Assumptions!$B$5</f>
        <v>11250</v>
      </c>
      <c r="I11" s="12" t="str">
        <f aca="false">IF(AND(C11&gt;=Diagnostics!$B$2,F11&lt;0.9),"Underperforming (easy territory)",IF(AND(C11&lt;Diagnostics!$B$2,F11&gt;=1.1),"High performer (hard territory)","Normal"))</f>
        <v>Normal</v>
      </c>
    </row>
    <row r="12" customFormat="false" ht="15" hidden="false" customHeight="false" outlineLevel="0" collapsed="false">
      <c r="A12" s="8" t="s">
        <v>31</v>
      </c>
      <c r="B12" s="8" t="n">
        <v>130</v>
      </c>
      <c r="C12" s="8" t="n">
        <v>845</v>
      </c>
      <c r="D12" s="9" t="n">
        <f aca="false">C12*Assumptions!$B$4</f>
        <v>946.4</v>
      </c>
      <c r="E12" s="8" t="n">
        <v>697</v>
      </c>
      <c r="F12" s="10" t="n">
        <f aca="false">IFERROR(E12/D12,0)</f>
        <v>0.73647506339814</v>
      </c>
      <c r="G12" s="10" t="n">
        <f aca="false">IF(F12&lt;Assumptions!$B$6,0,IF(F12&lt;Assumptions!$B$7,0.5+(F12-Assumptions!$B$6)*2.5,IF(F12&lt;Assumptions!$B$8,0.75+(F12-Assumptions!$B$7)*1.25,Assumptions!$B$9)))</f>
        <v>0</v>
      </c>
      <c r="H12" s="11" t="n">
        <f aca="false">G12*Assumptions!$B$5</f>
        <v>0</v>
      </c>
      <c r="I12" s="12" t="str">
        <f aca="false">IF(AND(C12&gt;=Diagnostics!$B$2,F12&lt;0.9),"Underperforming (easy territory)",IF(AND(C12&lt;Diagnostics!$B$2,F12&gt;=1.1),"High performer (hard territory)","Normal"))</f>
        <v>Normal</v>
      </c>
    </row>
    <row r="13" customFormat="false" ht="15" hidden="false" customHeight="false" outlineLevel="0" collapsed="false">
      <c r="A13" s="8" t="s">
        <v>32</v>
      </c>
      <c r="B13" s="8" t="n">
        <v>130</v>
      </c>
      <c r="C13" s="8" t="n">
        <v>688</v>
      </c>
      <c r="D13" s="9" t="n">
        <f aca="false">C13*Assumptions!$B$4</f>
        <v>770.56</v>
      </c>
      <c r="E13" s="8" t="n">
        <v>888</v>
      </c>
      <c r="F13" s="10" t="n">
        <f aca="false">IFERROR(E13/D13,0)</f>
        <v>1.15240863787375</v>
      </c>
      <c r="G13" s="10" t="n">
        <f aca="false">IF(F13&lt;Assumptions!$B$6,0,IF(F13&lt;Assumptions!$B$7,0.5+(F13-Assumptions!$B$6)*2.5,IF(F13&lt;Assumptions!$B$8,0.75+(F13-Assumptions!$B$7)*1.25,Assumptions!$B$9)))</f>
        <v>0.940510797342193</v>
      </c>
      <c r="H13" s="11" t="n">
        <f aca="false">G13*Assumptions!$B$5</f>
        <v>14107.6619601329</v>
      </c>
      <c r="I13" s="12" t="str">
        <f aca="false">IF(AND(C13&gt;=Diagnostics!$B$2,F13&lt;0.9),"Underperforming (easy territory)",IF(AND(C13&lt;Diagnostics!$B$2,F13&gt;=1.1),"High performer (hard territory)","Normal"))</f>
        <v>High performer (hard territory)</v>
      </c>
    </row>
    <row r="14" customFormat="false" ht="15" hidden="false" customHeight="false" outlineLevel="0" collapsed="false">
      <c r="A14" s="8" t="s">
        <v>33</v>
      </c>
      <c r="B14" s="8" t="n">
        <v>130</v>
      </c>
      <c r="C14" s="8" t="n">
        <v>840</v>
      </c>
      <c r="D14" s="9" t="n">
        <f aca="false">C14*Assumptions!$B$4</f>
        <v>940.8</v>
      </c>
      <c r="E14" s="8" t="n">
        <v>1026</v>
      </c>
      <c r="F14" s="10" t="n">
        <f aca="false">IFERROR(E14/D14,0)</f>
        <v>1.0905612244898</v>
      </c>
      <c r="G14" s="10" t="n">
        <f aca="false">IF(F14&lt;Assumptions!$B$6,0,IF(F14&lt;Assumptions!$B$7,0.5+(F14-Assumptions!$B$6)*2.5,IF(F14&lt;Assumptions!$B$8,0.75+(F14-Assumptions!$B$7)*1.25,Assumptions!$B$9)))</f>
        <v>0.863201530612245</v>
      </c>
      <c r="H14" s="11" t="n">
        <f aca="false">G14*Assumptions!$B$5</f>
        <v>12948.0229591837</v>
      </c>
      <c r="I14" s="12" t="str">
        <f aca="false">IF(AND(C14&gt;=Diagnostics!$B$2,F14&lt;0.9),"Underperforming (easy territory)",IF(AND(C14&lt;Diagnostics!$B$2,F14&gt;=1.1),"High performer (hard territory)","Normal"))</f>
        <v>Normal</v>
      </c>
    </row>
    <row r="15" customFormat="false" ht="15" hidden="false" customHeight="false" outlineLevel="0" collapsed="false">
      <c r="A15" s="8" t="s">
        <v>34</v>
      </c>
      <c r="B15" s="8" t="n">
        <v>130</v>
      </c>
      <c r="C15" s="8" t="n">
        <v>1099</v>
      </c>
      <c r="D15" s="9" t="n">
        <f aca="false">C15*Assumptions!$B$4</f>
        <v>1230.88</v>
      </c>
      <c r="E15" s="8" t="n">
        <v>1115</v>
      </c>
      <c r="F15" s="10" t="n">
        <f aca="false">IFERROR(E15/D15,0)</f>
        <v>0.905855972962433</v>
      </c>
      <c r="G15" s="10" t="n">
        <f aca="false">IF(F15&lt;Assumptions!$B$6,0,IF(F15&lt;Assumptions!$B$7,0.5+(F15-Assumptions!$B$6)*2.5,IF(F15&lt;Assumptions!$B$8,0.75+(F15-Assumptions!$B$7)*1.25,Assumptions!$B$9)))</f>
        <v>0.514639932406083</v>
      </c>
      <c r="H15" s="11" t="n">
        <f aca="false">G15*Assumptions!$B$5</f>
        <v>7719.59898609125</v>
      </c>
      <c r="I15" s="12" t="str">
        <f aca="false">IF(AND(C15&gt;=Diagnostics!$B$2,F15&lt;0.9),"Underperforming (easy territory)",IF(AND(C15&lt;Diagnostics!$B$2,F15&gt;=1.1),"High performer (hard territory)","Normal"))</f>
        <v>Normal</v>
      </c>
    </row>
    <row r="16" customFormat="false" ht="15" hidden="false" customHeight="false" outlineLevel="0" collapsed="false">
      <c r="A16" s="8" t="s">
        <v>35</v>
      </c>
      <c r="B16" s="8" t="n">
        <v>130</v>
      </c>
      <c r="C16" s="8" t="n">
        <v>661</v>
      </c>
      <c r="D16" s="9" t="n">
        <f aca="false">C16*Assumptions!$B$4</f>
        <v>740.32</v>
      </c>
      <c r="E16" s="8" t="n">
        <v>721</v>
      </c>
      <c r="F16" s="10" t="n">
        <f aca="false">IFERROR(E16/D16,0)</f>
        <v>0.973903177004539</v>
      </c>
      <c r="G16" s="10" t="n">
        <f aca="false">IF(F16&lt;Assumptions!$B$6,0,IF(F16&lt;Assumptions!$B$7,0.5+(F16-Assumptions!$B$6)*2.5,IF(F16&lt;Assumptions!$B$8,0.75+(F16-Assumptions!$B$7)*1.25,Assumptions!$B$9)))</f>
        <v>0.684757942511346</v>
      </c>
      <c r="H16" s="11" t="n">
        <f aca="false">G16*Assumptions!$B$5</f>
        <v>10271.3691376702</v>
      </c>
      <c r="I16" s="12" t="str">
        <f aca="false">IF(AND(C16&gt;=Diagnostics!$B$2,F16&lt;0.9),"Underperforming (easy territory)",IF(AND(C16&lt;Diagnostics!$B$2,F16&gt;=1.1),"High performer (hard territory)","Normal"))</f>
        <v>Normal</v>
      </c>
    </row>
    <row r="17" customFormat="false" ht="15" hidden="false" customHeight="false" outlineLevel="0" collapsed="false">
      <c r="A17" s="8" t="s">
        <v>36</v>
      </c>
      <c r="B17" s="8" t="n">
        <v>130</v>
      </c>
      <c r="C17" s="8" t="n">
        <v>852</v>
      </c>
      <c r="D17" s="9" t="n">
        <f aca="false">C17*Assumptions!$B$4</f>
        <v>954.24</v>
      </c>
      <c r="E17" s="8" t="n">
        <v>1027</v>
      </c>
      <c r="F17" s="10" t="n">
        <f aca="false">IFERROR(E17/D17,0)</f>
        <v>1.07624916163649</v>
      </c>
      <c r="G17" s="10" t="n">
        <f aca="false">IF(F17&lt;Assumptions!$B$6,0,IF(F17&lt;Assumptions!$B$7,0.5+(F17-Assumptions!$B$6)*2.5,IF(F17&lt;Assumptions!$B$8,0.75+(F17-Assumptions!$B$7)*1.25,Assumptions!$B$9)))</f>
        <v>0.845311452045607</v>
      </c>
      <c r="H17" s="11" t="n">
        <f aca="false">G17*Assumptions!$B$5</f>
        <v>12679.6717806841</v>
      </c>
      <c r="I17" s="12" t="str">
        <f aca="false">IF(AND(C17&gt;=Diagnostics!$B$2,F17&lt;0.9),"Underperforming (easy territory)",IF(AND(C17&lt;Diagnostics!$B$2,F17&gt;=1.1),"High performer (hard territory)","Normal"))</f>
        <v>Normal</v>
      </c>
    </row>
    <row r="18" customFormat="false" ht="15" hidden="false" customHeight="false" outlineLevel="0" collapsed="false">
      <c r="A18" s="8" t="s">
        <v>37</v>
      </c>
      <c r="B18" s="8" t="n">
        <v>130</v>
      </c>
      <c r="C18" s="8" t="n">
        <v>740</v>
      </c>
      <c r="D18" s="9" t="n">
        <f aca="false">C18*Assumptions!$B$4</f>
        <v>828.8</v>
      </c>
      <c r="E18" s="8" t="n">
        <v>796</v>
      </c>
      <c r="F18" s="10" t="n">
        <f aca="false">IFERROR(E18/D18,0)</f>
        <v>0.96042471042471</v>
      </c>
      <c r="G18" s="10" t="n">
        <f aca="false">IF(F18&lt;Assumptions!$B$6,0,IF(F18&lt;Assumptions!$B$7,0.5+(F18-Assumptions!$B$6)*2.5,IF(F18&lt;Assumptions!$B$8,0.75+(F18-Assumptions!$B$7)*1.25,Assumptions!$B$9)))</f>
        <v>0.651061776061776</v>
      </c>
      <c r="H18" s="11" t="n">
        <f aca="false">G18*Assumptions!$B$5</f>
        <v>9765.92664092664</v>
      </c>
      <c r="I18" s="12" t="str">
        <f aca="false">IF(AND(C18&gt;=Diagnostics!$B$2,F18&lt;0.9),"Underperforming (easy territory)",IF(AND(C18&lt;Diagnostics!$B$2,F18&gt;=1.1),"High performer (hard territory)","Normal"))</f>
        <v>Normal</v>
      </c>
    </row>
    <row r="19" customFormat="false" ht="15" hidden="false" customHeight="false" outlineLevel="0" collapsed="false">
      <c r="A19" s="8" t="s">
        <v>38</v>
      </c>
      <c r="B19" s="8" t="n">
        <v>130</v>
      </c>
      <c r="C19" s="8" t="n">
        <v>1062</v>
      </c>
      <c r="D19" s="9" t="n">
        <f aca="false">C19*Assumptions!$B$4</f>
        <v>1189.44</v>
      </c>
      <c r="E19" s="8" t="n">
        <v>1146</v>
      </c>
      <c r="F19" s="10" t="n">
        <f aca="false">IFERROR(E19/D19,0)</f>
        <v>0.963478611783697</v>
      </c>
      <c r="G19" s="10" t="n">
        <f aca="false">IF(F19&lt;Assumptions!$B$6,0,IF(F19&lt;Assumptions!$B$7,0.5+(F19-Assumptions!$B$6)*2.5,IF(F19&lt;Assumptions!$B$8,0.75+(F19-Assumptions!$B$7)*1.25,Assumptions!$B$9)))</f>
        <v>0.658696529459241</v>
      </c>
      <c r="H19" s="11" t="n">
        <f aca="false">G19*Assumptions!$B$5</f>
        <v>9880.44794188862</v>
      </c>
      <c r="I19" s="12" t="str">
        <f aca="false">IF(AND(C19&gt;=Diagnostics!$B$2,F19&lt;0.9),"Underperforming (easy territory)",IF(AND(C19&lt;Diagnostics!$B$2,F19&gt;=1.1),"High performer (hard territory)","Normal"))</f>
        <v>Normal</v>
      </c>
    </row>
    <row r="20" customFormat="false" ht="15" hidden="false" customHeight="false" outlineLevel="0" collapsed="false">
      <c r="A20" s="8" t="s">
        <v>39</v>
      </c>
      <c r="B20" s="8" t="n">
        <v>130</v>
      </c>
      <c r="C20" s="8" t="n">
        <v>1085</v>
      </c>
      <c r="D20" s="9" t="n">
        <f aca="false">C20*Assumptions!$B$4</f>
        <v>1215.2</v>
      </c>
      <c r="E20" s="8" t="n">
        <v>950</v>
      </c>
      <c r="F20" s="10" t="n">
        <f aca="false">IFERROR(E20/D20,0)</f>
        <v>0.781764318630678</v>
      </c>
      <c r="G20" s="10" t="n">
        <f aca="false">IF(F20&lt;Assumptions!$B$6,0,IF(F20&lt;Assumptions!$B$7,0.5+(F20-Assumptions!$B$6)*2.5,IF(F20&lt;Assumptions!$B$8,0.75+(F20-Assumptions!$B$7)*1.25,Assumptions!$B$9)))</f>
        <v>0</v>
      </c>
      <c r="H20" s="11" t="n">
        <f aca="false">G20*Assumptions!$B$5</f>
        <v>0</v>
      </c>
      <c r="I20" s="12" t="str">
        <f aca="false">IF(AND(C20&gt;=Diagnostics!$B$2,F20&lt;0.9),"Underperforming (easy territory)",IF(AND(C20&lt;Diagnostics!$B$2,F20&gt;=1.1),"High performer (hard territory)","Normal"))</f>
        <v>Underperforming (easy territory)</v>
      </c>
    </row>
    <row r="21" customFormat="false" ht="15" hidden="false" customHeight="false" outlineLevel="0" collapsed="false">
      <c r="A21" s="8" t="s">
        <v>40</v>
      </c>
      <c r="B21" s="8" t="n">
        <v>130</v>
      </c>
      <c r="C21" s="8" t="n">
        <v>923</v>
      </c>
      <c r="D21" s="9" t="n">
        <f aca="false">C21*Assumptions!$B$4</f>
        <v>1033.76</v>
      </c>
      <c r="E21" s="8" t="n">
        <v>1120</v>
      </c>
      <c r="F21" s="10" t="n">
        <f aca="false">IFERROR(E21/D21,0)</f>
        <v>1.08342361863489</v>
      </c>
      <c r="G21" s="10" t="n">
        <f aca="false">IF(F21&lt;Assumptions!$B$6,0,IF(F21&lt;Assumptions!$B$7,0.5+(F21-Assumptions!$B$6)*2.5,IF(F21&lt;Assumptions!$B$8,0.75+(F21-Assumptions!$B$7)*1.25,Assumptions!$B$9)))</f>
        <v>0.854279523293608</v>
      </c>
      <c r="H21" s="11" t="n">
        <f aca="false">G21*Assumptions!$B$5</f>
        <v>12814.1928494041</v>
      </c>
      <c r="I21" s="12" t="str">
        <f aca="false">IF(AND(C21&gt;=Diagnostics!$B$2,F21&lt;0.9),"Underperforming (easy territory)",IF(AND(C21&lt;Diagnostics!$B$2,F21&gt;=1.1),"High performer (hard territory)","Normal"))</f>
        <v>Normal</v>
      </c>
    </row>
    <row r="22" customFormat="false" ht="15" hidden="false" customHeight="false" outlineLevel="0" collapsed="false">
      <c r="A22" s="8" t="s">
        <v>41</v>
      </c>
      <c r="B22" s="8" t="n">
        <v>130</v>
      </c>
      <c r="C22" s="8" t="n">
        <v>1002</v>
      </c>
      <c r="D22" s="9" t="n">
        <f aca="false">C22*Assumptions!$B$4</f>
        <v>1122.24</v>
      </c>
      <c r="E22" s="8" t="n">
        <v>1143</v>
      </c>
      <c r="F22" s="10" t="n">
        <f aca="false">IFERROR(E22/D22,0)</f>
        <v>1.01849871685201</v>
      </c>
      <c r="G22" s="10" t="n">
        <f aca="false">IF(F22&lt;Assumptions!$B$6,0,IF(F22&lt;Assumptions!$B$7,0.5+(F22-Assumptions!$B$6)*2.5,IF(F22&lt;Assumptions!$B$8,0.75+(F22-Assumptions!$B$7)*1.25,Assumptions!$B$9)))</f>
        <v>0.773123396065013</v>
      </c>
      <c r="H22" s="11" t="n">
        <f aca="false">G22*Assumptions!$B$5</f>
        <v>11596.8509409752</v>
      </c>
      <c r="I22" s="12" t="str">
        <f aca="false">IF(AND(C22&gt;=Diagnostics!$B$2,F22&lt;0.9),"Underperforming (easy territory)",IF(AND(C22&lt;Diagnostics!$B$2,F22&gt;=1.1),"High performer (hard territory)","Normal"))</f>
        <v>Normal</v>
      </c>
    </row>
    <row r="23" customFormat="false" ht="15" hidden="false" customHeight="false" outlineLevel="0" collapsed="false">
      <c r="A23" s="8" t="s">
        <v>42</v>
      </c>
      <c r="B23" s="8" t="n">
        <v>130</v>
      </c>
      <c r="C23" s="8" t="n">
        <v>603</v>
      </c>
      <c r="D23" s="9" t="n">
        <f aca="false">C23*Assumptions!$B$4</f>
        <v>675.36</v>
      </c>
      <c r="E23" s="8" t="n">
        <v>703</v>
      </c>
      <c r="F23" s="10" t="n">
        <f aca="false">IFERROR(E23/D23,0)</f>
        <v>1.04092632077707</v>
      </c>
      <c r="G23" s="10" t="n">
        <f aca="false">IF(F23&lt;Assumptions!$B$6,0,IF(F23&lt;Assumptions!$B$7,0.5+(F23-Assumptions!$B$6)*2.5,IF(F23&lt;Assumptions!$B$8,0.75+(F23-Assumptions!$B$7)*1.25,Assumptions!$B$9)))</f>
        <v>0.801157900971334</v>
      </c>
      <c r="H23" s="11" t="n">
        <f aca="false">G23*Assumptions!$B$5</f>
        <v>12017.36851457</v>
      </c>
      <c r="I23" s="12" t="str">
        <f aca="false">IF(AND(C23&gt;=Diagnostics!$B$2,F23&lt;0.9),"Underperforming (easy territory)",IF(AND(C23&lt;Diagnostics!$B$2,F23&gt;=1.1),"High performer (hard territory)","Normal"))</f>
        <v>Normal</v>
      </c>
    </row>
    <row r="24" customFormat="false" ht="15" hidden="false" customHeight="false" outlineLevel="0" collapsed="false">
      <c r="A24" s="8" t="s">
        <v>43</v>
      </c>
      <c r="B24" s="8" t="n">
        <v>130</v>
      </c>
      <c r="C24" s="8" t="n">
        <v>788</v>
      </c>
      <c r="D24" s="9" t="n">
        <f aca="false">C24*Assumptions!$B$4</f>
        <v>882.56</v>
      </c>
      <c r="E24" s="8" t="n">
        <v>680</v>
      </c>
      <c r="F24" s="10" t="n">
        <f aca="false">IFERROR(E24/D24,0)</f>
        <v>0.770485859318347</v>
      </c>
      <c r="G24" s="10" t="n">
        <f aca="false">IF(F24&lt;Assumptions!$B$6,0,IF(F24&lt;Assumptions!$B$7,0.5+(F24-Assumptions!$B$6)*2.5,IF(F24&lt;Assumptions!$B$8,0.75+(F24-Assumptions!$B$7)*1.25,Assumptions!$B$9)))</f>
        <v>0</v>
      </c>
      <c r="H24" s="11" t="n">
        <f aca="false">G24*Assumptions!$B$5</f>
        <v>0</v>
      </c>
      <c r="I24" s="12" t="str">
        <f aca="false">IF(AND(C24&gt;=Diagnostics!$B$2,F24&lt;0.9),"Underperforming (easy territory)",IF(AND(C24&lt;Diagnostics!$B$2,F24&gt;=1.1),"High performer (hard territory)","Normal"))</f>
        <v>Normal</v>
      </c>
    </row>
    <row r="25" customFormat="false" ht="15" hidden="false" customHeight="false" outlineLevel="0" collapsed="false">
      <c r="A25" s="8" t="s">
        <v>44</v>
      </c>
      <c r="B25" s="8" t="n">
        <v>130</v>
      </c>
      <c r="C25" s="8" t="n">
        <v>908</v>
      </c>
      <c r="D25" s="9" t="n">
        <f aca="false">C25*Assumptions!$B$4</f>
        <v>1016.96</v>
      </c>
      <c r="E25" s="8" t="n">
        <v>1269</v>
      </c>
      <c r="F25" s="10" t="n">
        <f aca="false">IFERROR(E25/D25,0)</f>
        <v>1.24783668974198</v>
      </c>
      <c r="G25" s="10" t="n">
        <f aca="false">IF(F25&lt;Assumptions!$B$6,0,IF(F25&lt;Assumptions!$B$7,0.5+(F25-Assumptions!$B$6)*2.5,IF(F25&lt;Assumptions!$B$8,0.75+(F25-Assumptions!$B$7)*1.25,Assumptions!$B$9)))</f>
        <v>1.25</v>
      </c>
      <c r="H25" s="11" t="n">
        <f aca="false">G25*Assumptions!$B$5</f>
        <v>18750</v>
      </c>
      <c r="I25" s="12" t="str">
        <f aca="false">IF(AND(C25&gt;=Diagnostics!$B$2,F25&lt;0.9),"Underperforming (easy territory)",IF(AND(C25&lt;Diagnostics!$B$2,F25&gt;=1.1),"High performer (hard territory)","Normal"))</f>
        <v>High performer (hard territory)</v>
      </c>
    </row>
    <row r="26" customFormat="false" ht="15" hidden="false" customHeight="false" outlineLevel="0" collapsed="false">
      <c r="A26" s="8" t="s">
        <v>45</v>
      </c>
      <c r="B26" s="8" t="n">
        <v>130</v>
      </c>
      <c r="C26" s="8" t="n">
        <v>1042</v>
      </c>
      <c r="D26" s="9" t="n">
        <f aca="false">C26*Assumptions!$B$4</f>
        <v>1167.04</v>
      </c>
      <c r="E26" s="8" t="n">
        <v>1194</v>
      </c>
      <c r="F26" s="10" t="n">
        <f aca="false">IFERROR(E26/D26,0)</f>
        <v>1.02310117905128</v>
      </c>
      <c r="G26" s="10" t="n">
        <f aca="false">IF(F26&lt;Assumptions!$B$6,0,IF(F26&lt;Assumptions!$B$7,0.5+(F26-Assumptions!$B$6)*2.5,IF(F26&lt;Assumptions!$B$8,0.75+(F26-Assumptions!$B$7)*1.25,Assumptions!$B$9)))</f>
        <v>0.778876473814094</v>
      </c>
      <c r="H26" s="11" t="n">
        <f aca="false">G26*Assumptions!$B$5</f>
        <v>11683.1471072114</v>
      </c>
      <c r="I26" s="12" t="str">
        <f aca="false">IF(AND(C26&gt;=Diagnostics!$B$2,F26&lt;0.9),"Underperforming (easy territory)",IF(AND(C26&lt;Diagnostics!$B$2,F26&gt;=1.1),"High performer (hard territory)","Normal"))</f>
        <v>Normal</v>
      </c>
    </row>
    <row r="27" customFormat="false" ht="15" hidden="false" customHeight="false" outlineLevel="0" collapsed="false">
      <c r="A27" s="8" t="s">
        <v>46</v>
      </c>
      <c r="B27" s="8" t="n">
        <v>130</v>
      </c>
      <c r="C27" s="8" t="n">
        <v>1001</v>
      </c>
      <c r="D27" s="9" t="n">
        <f aca="false">C27*Assumptions!$B$4</f>
        <v>1121.12</v>
      </c>
      <c r="E27" s="8" t="n">
        <v>1056</v>
      </c>
      <c r="F27" s="10" t="n">
        <f aca="false">IFERROR(E27/D27,0)</f>
        <v>0.941915227629513</v>
      </c>
      <c r="G27" s="10" t="n">
        <f aca="false">IF(F27&lt;Assumptions!$B$6,0,IF(F27&lt;Assumptions!$B$7,0.5+(F27-Assumptions!$B$6)*2.5,IF(F27&lt;Assumptions!$B$8,0.75+(F27-Assumptions!$B$7)*1.25,Assumptions!$B$9)))</f>
        <v>0.604788069073783</v>
      </c>
      <c r="H27" s="11" t="n">
        <f aca="false">G27*Assumptions!$B$5</f>
        <v>9071.82103610675</v>
      </c>
      <c r="I27" s="12" t="str">
        <f aca="false">IF(AND(C27&gt;=Diagnostics!$B$2,F27&lt;0.9),"Underperforming (easy territory)",IF(AND(C27&lt;Diagnostics!$B$2,F27&gt;=1.1),"High performer (hard territory)","Normal"))</f>
        <v>Normal</v>
      </c>
    </row>
    <row r="28" customFormat="false" ht="15" hidden="false" customHeight="false" outlineLevel="0" collapsed="false">
      <c r="A28" s="8" t="s">
        <v>47</v>
      </c>
      <c r="B28" s="8" t="n">
        <v>130</v>
      </c>
      <c r="C28" s="8" t="n">
        <v>906</v>
      </c>
      <c r="D28" s="9" t="n">
        <f aca="false">C28*Assumptions!$B$4</f>
        <v>1014.72</v>
      </c>
      <c r="E28" s="8" t="n">
        <v>1324</v>
      </c>
      <c r="F28" s="10" t="n">
        <f aca="false">IFERROR(E28/D28,0)</f>
        <v>1.30479344055503</v>
      </c>
      <c r="G28" s="10" t="n">
        <f aca="false">IF(F28&lt;Assumptions!$B$6,0,IF(F28&lt;Assumptions!$B$7,0.5+(F28-Assumptions!$B$6)*2.5,IF(F28&lt;Assumptions!$B$8,0.75+(F28-Assumptions!$B$7)*1.25,Assumptions!$B$9)))</f>
        <v>1.25</v>
      </c>
      <c r="H28" s="11" t="n">
        <f aca="false">G28*Assumptions!$B$5</f>
        <v>18750</v>
      </c>
      <c r="I28" s="12" t="str">
        <f aca="false">IF(AND(C28&gt;=Diagnostics!$B$2,F28&lt;0.9),"Underperforming (easy territory)",IF(AND(C28&lt;Diagnostics!$B$2,F28&gt;=1.1),"High performer (hard territory)","Normal"))</f>
        <v>High performer (hard territory)</v>
      </c>
    </row>
    <row r="29" customFormat="false" ht="15" hidden="false" customHeight="false" outlineLevel="0" collapsed="false">
      <c r="A29" s="8" t="s">
        <v>48</v>
      </c>
      <c r="B29" s="8" t="n">
        <v>130</v>
      </c>
      <c r="C29" s="8" t="n">
        <v>780</v>
      </c>
      <c r="D29" s="9" t="n">
        <f aca="false">C29*Assumptions!$B$4</f>
        <v>873.6</v>
      </c>
      <c r="E29" s="8" t="n">
        <v>868</v>
      </c>
      <c r="F29" s="10" t="n">
        <f aca="false">IFERROR(E29/D29,0)</f>
        <v>0.993589743589743</v>
      </c>
      <c r="G29" s="10" t="n">
        <f aca="false">IF(F29&lt;Assumptions!$B$6,0,IF(F29&lt;Assumptions!$B$7,0.5+(F29-Assumptions!$B$6)*2.5,IF(F29&lt;Assumptions!$B$8,0.75+(F29-Assumptions!$B$7)*1.25,Assumptions!$B$9)))</f>
        <v>0.733974358974358</v>
      </c>
      <c r="H29" s="11" t="n">
        <f aca="false">G29*Assumptions!$B$5</f>
        <v>11009.6153846154</v>
      </c>
      <c r="I29" s="12" t="str">
        <f aca="false">IF(AND(C29&gt;=Diagnostics!$B$2,F29&lt;0.9),"Underperforming (easy territory)",IF(AND(C29&lt;Diagnostics!$B$2,F29&gt;=1.1),"High performer (hard territory)","Normal"))</f>
        <v>Normal</v>
      </c>
    </row>
    <row r="30" customFormat="false" ht="15" hidden="false" customHeight="false" outlineLevel="0" collapsed="false">
      <c r="A30" s="8" t="s">
        <v>49</v>
      </c>
      <c r="B30" s="8" t="n">
        <v>130</v>
      </c>
      <c r="C30" s="8" t="n">
        <v>732</v>
      </c>
      <c r="D30" s="9" t="n">
        <f aca="false">C30*Assumptions!$B$4</f>
        <v>819.84</v>
      </c>
      <c r="E30" s="8" t="n">
        <v>641</v>
      </c>
      <c r="F30" s="10" t="n">
        <f aca="false">IFERROR(E30/D30,0)</f>
        <v>0.78185987509758</v>
      </c>
      <c r="G30" s="10" t="n">
        <f aca="false">IF(F30&lt;Assumptions!$B$6,0,IF(F30&lt;Assumptions!$B$7,0.5+(F30-Assumptions!$B$6)*2.5,IF(F30&lt;Assumptions!$B$8,0.75+(F30-Assumptions!$B$7)*1.25,Assumptions!$B$9)))</f>
        <v>0</v>
      </c>
      <c r="H30" s="11" t="n">
        <f aca="false">G30*Assumptions!$B$5</f>
        <v>0</v>
      </c>
      <c r="I30" s="12" t="str">
        <f aca="false">IF(AND(C30&gt;=Diagnostics!$B$2,F30&lt;0.9),"Underperforming (easy territory)",IF(AND(C30&lt;Diagnostics!$B$2,F30&gt;=1.1),"High performer (hard territory)","Normal"))</f>
        <v>Normal</v>
      </c>
    </row>
    <row r="31" customFormat="false" ht="15" hidden="false" customHeight="false" outlineLevel="0" collapsed="false">
      <c r="A31" s="8" t="s">
        <v>50</v>
      </c>
      <c r="B31" s="8" t="n">
        <v>130</v>
      </c>
      <c r="C31" s="8" t="n">
        <v>933</v>
      </c>
      <c r="D31" s="9" t="n">
        <f aca="false">C31*Assumptions!$B$4</f>
        <v>1044.96</v>
      </c>
      <c r="E31" s="8" t="n">
        <v>981</v>
      </c>
      <c r="F31" s="10" t="n">
        <f aca="false">IFERROR(E31/D31,0)</f>
        <v>0.938791915480018</v>
      </c>
      <c r="G31" s="10" t="n">
        <f aca="false">IF(F31&lt;Assumptions!$B$6,0,IF(F31&lt;Assumptions!$B$7,0.5+(F31-Assumptions!$B$6)*2.5,IF(F31&lt;Assumptions!$B$8,0.75+(F31-Assumptions!$B$7)*1.25,Assumptions!$B$9)))</f>
        <v>0.596979788700046</v>
      </c>
      <c r="H31" s="11" t="n">
        <f aca="false">G31*Assumptions!$B$5</f>
        <v>8954.69683050069</v>
      </c>
      <c r="I31" s="12" t="str">
        <f aca="false">IF(AND(C31&gt;=Diagnostics!$B$2,F31&lt;0.9),"Underperforming (easy territory)",IF(AND(C31&lt;Diagnostics!$B$2,F31&gt;=1.1),"High performer (hard territory)","Normal"))</f>
        <v>Normal</v>
      </c>
    </row>
    <row r="32" customFormat="false" ht="15" hidden="false" customHeight="false" outlineLevel="0" collapsed="false">
      <c r="A32" s="8" t="s">
        <v>51</v>
      </c>
      <c r="B32" s="8" t="n">
        <v>130</v>
      </c>
      <c r="C32" s="8" t="n">
        <v>878</v>
      </c>
      <c r="D32" s="9" t="n">
        <f aca="false">C32*Assumptions!$B$4</f>
        <v>983.36</v>
      </c>
      <c r="E32" s="8" t="n">
        <v>646</v>
      </c>
      <c r="F32" s="10" t="n">
        <f aca="false">IFERROR(E32/D32,0)</f>
        <v>0.656931337455255</v>
      </c>
      <c r="G32" s="10" t="n">
        <f aca="false">IF(F32&lt;Assumptions!$B$6,0,IF(F32&lt;Assumptions!$B$7,0.5+(F32-Assumptions!$B$6)*2.5,IF(F32&lt;Assumptions!$B$8,0.75+(F32-Assumptions!$B$7)*1.25,Assumptions!$B$9)))</f>
        <v>0</v>
      </c>
      <c r="H32" s="11" t="n">
        <f aca="false">G32*Assumptions!$B$5</f>
        <v>0</v>
      </c>
      <c r="I32" s="12" t="str">
        <f aca="false">IF(AND(C32&gt;=Diagnostics!$B$2,F32&lt;0.9),"Underperforming (easy territory)",IF(AND(C32&lt;Diagnostics!$B$2,F32&gt;=1.1),"High performer (hard territory)","Normal"))</f>
        <v>Normal</v>
      </c>
    </row>
    <row r="33" customFormat="false" ht="15" hidden="false" customHeight="false" outlineLevel="0" collapsed="false">
      <c r="A33" s="8" t="s">
        <v>52</v>
      </c>
      <c r="B33" s="8" t="n">
        <v>130</v>
      </c>
      <c r="C33" s="8" t="n">
        <v>907</v>
      </c>
      <c r="D33" s="9" t="n">
        <f aca="false">C33*Assumptions!$B$4</f>
        <v>1015.84</v>
      </c>
      <c r="E33" s="8" t="n">
        <v>1176</v>
      </c>
      <c r="F33" s="10" t="n">
        <f aca="false">IFERROR(E33/D33,0)</f>
        <v>1.15766262403528</v>
      </c>
      <c r="G33" s="10" t="n">
        <f aca="false">IF(F33&lt;Assumptions!$B$6,0,IF(F33&lt;Assumptions!$B$7,0.5+(F33-Assumptions!$B$6)*2.5,IF(F33&lt;Assumptions!$B$8,0.75+(F33-Assumptions!$B$7)*1.25,Assumptions!$B$9)))</f>
        <v>0.947078280044101</v>
      </c>
      <c r="H33" s="11" t="n">
        <f aca="false">G33*Assumptions!$B$5</f>
        <v>14206.1742006615</v>
      </c>
      <c r="I33" s="12" t="str">
        <f aca="false">IF(AND(C33&gt;=Diagnostics!$B$2,F33&lt;0.9),"Underperforming (easy territory)",IF(AND(C33&lt;Diagnostics!$B$2,F33&gt;=1.1),"High performer (hard territory)","Normal"))</f>
        <v>High performer (hard territory)</v>
      </c>
    </row>
    <row r="34" customFormat="false" ht="15" hidden="false" customHeight="false" outlineLevel="0" collapsed="false">
      <c r="A34" s="8" t="s">
        <v>53</v>
      </c>
      <c r="B34" s="8" t="n">
        <v>130</v>
      </c>
      <c r="C34" s="8" t="n">
        <v>600</v>
      </c>
      <c r="D34" s="9" t="n">
        <f aca="false">C34*Assumptions!$B$4</f>
        <v>672</v>
      </c>
      <c r="E34" s="8" t="n">
        <v>630</v>
      </c>
      <c r="F34" s="10" t="n">
        <f aca="false">IFERROR(E34/D34,0)</f>
        <v>0.9375</v>
      </c>
      <c r="G34" s="10" t="n">
        <f aca="false">IF(F34&lt;Assumptions!$B$6,0,IF(F34&lt;Assumptions!$B$7,0.5+(F34-Assumptions!$B$6)*2.5,IF(F34&lt;Assumptions!$B$8,0.75+(F34-Assumptions!$B$7)*1.25,Assumptions!$B$9)))</f>
        <v>0.59375</v>
      </c>
      <c r="H34" s="11" t="n">
        <f aca="false">G34*Assumptions!$B$5</f>
        <v>8906.25</v>
      </c>
      <c r="I34" s="12" t="str">
        <f aca="false">IF(AND(C34&gt;=Diagnostics!$B$2,F34&lt;0.9),"Underperforming (easy territory)",IF(AND(C34&lt;Diagnostics!$B$2,F34&gt;=1.1),"High performer (hard territory)","Normal"))</f>
        <v>Normal</v>
      </c>
    </row>
    <row r="35" customFormat="false" ht="15" hidden="false" customHeight="false" outlineLevel="0" collapsed="false">
      <c r="A35" s="8" t="s">
        <v>54</v>
      </c>
      <c r="B35" s="8" t="n">
        <v>130</v>
      </c>
      <c r="C35" s="8" t="n">
        <v>886</v>
      </c>
      <c r="D35" s="9" t="n">
        <f aca="false">C35*Assumptions!$B$4</f>
        <v>992.32</v>
      </c>
      <c r="E35" s="8" t="n">
        <v>882</v>
      </c>
      <c r="F35" s="10" t="n">
        <f aca="false">IFERROR(E35/D35,0)</f>
        <v>0.88882618510158</v>
      </c>
      <c r="G35" s="10" t="n">
        <f aca="false">IF(F35&lt;Assumptions!$B$6,0,IF(F35&lt;Assumptions!$B$7,0.5+(F35-Assumptions!$B$6)*2.5,IF(F35&lt;Assumptions!$B$8,0.75+(F35-Assumptions!$B$7)*1.25,Assumptions!$B$9)))</f>
        <v>0</v>
      </c>
      <c r="H35" s="11" t="n">
        <f aca="false">G35*Assumptions!$B$5</f>
        <v>0</v>
      </c>
      <c r="I35" s="12" t="str">
        <f aca="false">IF(AND(C35&gt;=Diagnostics!$B$2,F35&lt;0.9),"Underperforming (easy territory)",IF(AND(C35&lt;Diagnostics!$B$2,F35&gt;=1.1),"High performer (hard territory)","Normal"))</f>
        <v>Normal</v>
      </c>
    </row>
    <row r="36" customFormat="false" ht="15" hidden="false" customHeight="false" outlineLevel="0" collapsed="false">
      <c r="A36" s="8" t="s">
        <v>55</v>
      </c>
      <c r="B36" s="8" t="n">
        <v>130</v>
      </c>
      <c r="C36" s="8" t="n">
        <v>1090</v>
      </c>
      <c r="D36" s="9" t="n">
        <f aca="false">C36*Assumptions!$B$4</f>
        <v>1220.8</v>
      </c>
      <c r="E36" s="8" t="n">
        <v>1417</v>
      </c>
      <c r="F36" s="10" t="n">
        <f aca="false">IFERROR(E36/D36,0)</f>
        <v>1.16071428571429</v>
      </c>
      <c r="G36" s="10" t="n">
        <f aca="false">IF(F36&lt;Assumptions!$B$6,0,IF(F36&lt;Assumptions!$B$7,0.5+(F36-Assumptions!$B$6)*2.5,IF(F36&lt;Assumptions!$B$8,0.75+(F36-Assumptions!$B$7)*1.25,Assumptions!$B$9)))</f>
        <v>0.950892857142857</v>
      </c>
      <c r="H36" s="11" t="n">
        <f aca="false">G36*Assumptions!$B$5</f>
        <v>14263.3928571429</v>
      </c>
      <c r="I36" s="12" t="str">
        <f aca="false">IF(AND(C36&gt;=Diagnostics!$B$2,F36&lt;0.9),"Underperforming (easy territory)",IF(AND(C36&lt;Diagnostics!$B$2,F36&gt;=1.1),"High performer (hard territory)","Normal"))</f>
        <v>Normal</v>
      </c>
    </row>
    <row r="37" customFormat="false" ht="15" hidden="false" customHeight="false" outlineLevel="0" collapsed="false">
      <c r="A37" s="8" t="s">
        <v>56</v>
      </c>
      <c r="B37" s="8" t="n">
        <v>130</v>
      </c>
      <c r="C37" s="8" t="n">
        <v>612</v>
      </c>
      <c r="D37" s="9" t="n">
        <f aca="false">C37*Assumptions!$B$4</f>
        <v>685.44</v>
      </c>
      <c r="E37" s="8" t="n">
        <v>516</v>
      </c>
      <c r="F37" s="10" t="n">
        <f aca="false">IFERROR(E37/D37,0)</f>
        <v>0.752801120448179</v>
      </c>
      <c r="G37" s="10" t="n">
        <f aca="false">IF(F37&lt;Assumptions!$B$6,0,IF(F37&lt;Assumptions!$B$7,0.5+(F37-Assumptions!$B$6)*2.5,IF(F37&lt;Assumptions!$B$8,0.75+(F37-Assumptions!$B$7)*1.25,Assumptions!$B$9)))</f>
        <v>0</v>
      </c>
      <c r="H37" s="11" t="n">
        <f aca="false">G37*Assumptions!$B$5</f>
        <v>0</v>
      </c>
      <c r="I37" s="12" t="str">
        <f aca="false">IF(AND(C37&gt;=Diagnostics!$B$2,F37&lt;0.9),"Underperforming (easy territory)",IF(AND(C37&lt;Diagnostics!$B$2,F37&gt;=1.1),"High performer (hard territory)","Normal"))</f>
        <v>Normal</v>
      </c>
    </row>
    <row r="38" customFormat="false" ht="15" hidden="false" customHeight="false" outlineLevel="0" collapsed="false">
      <c r="A38" s="8" t="s">
        <v>57</v>
      </c>
      <c r="B38" s="8" t="n">
        <v>130</v>
      </c>
      <c r="C38" s="8" t="n">
        <v>1067</v>
      </c>
      <c r="D38" s="9" t="n">
        <f aca="false">C38*Assumptions!$B$4</f>
        <v>1195.04</v>
      </c>
      <c r="E38" s="8" t="n">
        <v>1291</v>
      </c>
      <c r="F38" s="10" t="n">
        <f aca="false">IFERROR(E38/D38,0)</f>
        <v>1.08029856741197</v>
      </c>
      <c r="G38" s="10" t="n">
        <f aca="false">IF(F38&lt;Assumptions!$B$6,0,IF(F38&lt;Assumptions!$B$7,0.5+(F38-Assumptions!$B$6)*2.5,IF(F38&lt;Assumptions!$B$8,0.75+(F38-Assumptions!$B$7)*1.25,Assumptions!$B$9)))</f>
        <v>0.850373209264962</v>
      </c>
      <c r="H38" s="11" t="n">
        <f aca="false">G38*Assumptions!$B$5</f>
        <v>12755.5981389744</v>
      </c>
      <c r="I38" s="12" t="str">
        <f aca="false">IF(AND(C38&gt;=Diagnostics!$B$2,F38&lt;0.9),"Underperforming (easy territory)",IF(AND(C38&lt;Diagnostics!$B$2,F38&gt;=1.1),"High performer (hard territory)","Normal"))</f>
        <v>Normal</v>
      </c>
    </row>
    <row r="39" customFormat="false" ht="15" hidden="false" customHeight="false" outlineLevel="0" collapsed="false">
      <c r="A39" s="8" t="s">
        <v>58</v>
      </c>
      <c r="B39" s="8" t="n">
        <v>130</v>
      </c>
      <c r="C39" s="8" t="n">
        <v>943</v>
      </c>
      <c r="D39" s="9" t="n">
        <f aca="false">C39*Assumptions!$B$4</f>
        <v>1056.16</v>
      </c>
      <c r="E39" s="8" t="n">
        <v>729</v>
      </c>
      <c r="F39" s="10" t="n">
        <f aca="false">IFERROR(E39/D39,0)</f>
        <v>0.690236327829117</v>
      </c>
      <c r="G39" s="10" t="n">
        <f aca="false">IF(F39&lt;Assumptions!$B$6,0,IF(F39&lt;Assumptions!$B$7,0.5+(F39-Assumptions!$B$6)*2.5,IF(F39&lt;Assumptions!$B$8,0.75+(F39-Assumptions!$B$7)*1.25,Assumptions!$B$9)))</f>
        <v>0</v>
      </c>
      <c r="H39" s="11" t="n">
        <f aca="false">G39*Assumptions!$B$5</f>
        <v>0</v>
      </c>
      <c r="I39" s="12" t="str">
        <f aca="false">IF(AND(C39&gt;=Diagnostics!$B$2,F39&lt;0.9),"Underperforming (easy territory)",IF(AND(C39&lt;Diagnostics!$B$2,F39&gt;=1.1),"High performer (hard territory)","Normal"))</f>
        <v>Underperforming (easy territory)</v>
      </c>
    </row>
    <row r="40" customFormat="false" ht="15" hidden="false" customHeight="false" outlineLevel="0" collapsed="false">
      <c r="A40" s="8" t="s">
        <v>59</v>
      </c>
      <c r="B40" s="8" t="n">
        <v>130</v>
      </c>
      <c r="C40" s="8" t="n">
        <v>1090</v>
      </c>
      <c r="D40" s="9" t="n">
        <f aca="false">C40*Assumptions!$B$4</f>
        <v>1220.8</v>
      </c>
      <c r="E40" s="8" t="n">
        <v>1100</v>
      </c>
      <c r="F40" s="10" t="n">
        <f aca="false">IFERROR(E40/D40,0)</f>
        <v>0.901048492791612</v>
      </c>
      <c r="G40" s="10" t="n">
        <f aca="false">IF(F40&lt;Assumptions!$B$6,0,IF(F40&lt;Assumptions!$B$7,0.5+(F40-Assumptions!$B$6)*2.5,IF(F40&lt;Assumptions!$B$8,0.75+(F40-Assumptions!$B$7)*1.25,Assumptions!$B$9)))</f>
        <v>0.50262123197903</v>
      </c>
      <c r="H40" s="11" t="n">
        <f aca="false">G40*Assumptions!$B$5</f>
        <v>7539.31847968545</v>
      </c>
      <c r="I40" s="12" t="str">
        <f aca="false">IF(AND(C40&gt;=Diagnostics!$B$2,F40&lt;0.9),"Underperforming (easy territory)",IF(AND(C40&lt;Diagnostics!$B$2,F40&gt;=1.1),"High performer (hard territory)","Normal"))</f>
        <v>Normal</v>
      </c>
    </row>
    <row r="41" customFormat="false" ht="15" hidden="false" customHeight="false" outlineLevel="0" collapsed="false">
      <c r="A41" s="8" t="s">
        <v>60</v>
      </c>
      <c r="B41" s="8" t="n">
        <v>130</v>
      </c>
      <c r="C41" s="8" t="n">
        <v>699</v>
      </c>
      <c r="D41" s="9" t="n">
        <f aca="false">C41*Assumptions!$B$4</f>
        <v>782.88</v>
      </c>
      <c r="E41" s="8" t="n">
        <v>641</v>
      </c>
      <c r="F41" s="10" t="n">
        <f aca="false">IFERROR(E41/D41,0)</f>
        <v>0.818771714694461</v>
      </c>
      <c r="G41" s="10" t="n">
        <f aca="false">IF(F41&lt;Assumptions!$B$6,0,IF(F41&lt;Assumptions!$B$7,0.5+(F41-Assumptions!$B$6)*2.5,IF(F41&lt;Assumptions!$B$8,0.75+(F41-Assumptions!$B$7)*1.25,Assumptions!$B$9)))</f>
        <v>0</v>
      </c>
      <c r="H41" s="11" t="n">
        <f aca="false">G41*Assumptions!$B$5</f>
        <v>0</v>
      </c>
      <c r="I41" s="12" t="str">
        <f aca="false">IF(AND(C41&gt;=Diagnostics!$B$2,F41&lt;0.9),"Underperforming (easy territory)",IF(AND(C41&lt;Diagnostics!$B$2,F41&gt;=1.1),"High performer (hard territory)","Normal"))</f>
        <v>Normal</v>
      </c>
    </row>
    <row r="42" customFormat="false" ht="15" hidden="false" customHeight="false" outlineLevel="0" collapsed="false">
      <c r="A42" s="8" t="s">
        <v>61</v>
      </c>
      <c r="B42" s="8" t="n">
        <v>130</v>
      </c>
      <c r="C42" s="8" t="n">
        <v>1487</v>
      </c>
      <c r="D42" s="9" t="n">
        <f aca="false">C42*Assumptions!$B$4</f>
        <v>1665.44</v>
      </c>
      <c r="E42" s="8" t="n">
        <v>2031</v>
      </c>
      <c r="F42" s="10" t="n">
        <f aca="false">IFERROR(E42/D42,0)</f>
        <v>1.21949755019695</v>
      </c>
      <c r="G42" s="10" t="n">
        <f aca="false">IF(F42&lt;Assumptions!$B$6,0,IF(F42&lt;Assumptions!$B$7,0.5+(F42-Assumptions!$B$6)*2.5,IF(F42&lt;Assumptions!$B$8,0.75+(F42-Assumptions!$B$7)*1.25,Assumptions!$B$9)))</f>
        <v>1.25</v>
      </c>
      <c r="H42" s="11" t="n">
        <f aca="false">G42*Assumptions!$B$5</f>
        <v>18750</v>
      </c>
      <c r="I42" s="12" t="str">
        <f aca="false">IF(AND(C42&gt;=Diagnostics!$B$2,F42&lt;0.9),"Underperforming (easy territory)",IF(AND(C42&lt;Diagnostics!$B$2,F42&gt;=1.1),"High performer (hard territory)","Normal"))</f>
        <v>Normal</v>
      </c>
    </row>
    <row r="43" customFormat="false" ht="15" hidden="false" customHeight="false" outlineLevel="0" collapsed="false">
      <c r="A43" s="8" t="s">
        <v>62</v>
      </c>
      <c r="B43" s="8" t="n">
        <v>105</v>
      </c>
      <c r="C43" s="8" t="n">
        <v>687</v>
      </c>
      <c r="D43" s="9" t="n">
        <f aca="false">C43*Assumptions!$B$4</f>
        <v>769.44</v>
      </c>
      <c r="E43" s="8" t="n">
        <v>973</v>
      </c>
      <c r="F43" s="10" t="n">
        <f aca="false">IFERROR(E43/D43,0)</f>
        <v>1.26455604075691</v>
      </c>
      <c r="G43" s="10" t="n">
        <f aca="false">IF(F43&lt;Assumptions!$B$6,0,IF(F43&lt;Assumptions!$B$7,0.5+(F43-Assumptions!$B$6)*2.5,IF(F43&lt;Assumptions!$B$8,0.75+(F43-Assumptions!$B$7)*1.25,Assumptions!$B$9)))</f>
        <v>1.25</v>
      </c>
      <c r="H43" s="11" t="n">
        <f aca="false">G43*Assumptions!$B$5</f>
        <v>18750</v>
      </c>
      <c r="I43" s="12" t="str">
        <f aca="false">IF(AND(C43&gt;=Diagnostics!$B$2,F43&lt;0.9),"Underperforming (easy territory)",IF(AND(C43&lt;Diagnostics!$B$2,F43&gt;=1.1),"High performer (hard territory)","Normal"))</f>
        <v>High performer (hard territory)</v>
      </c>
    </row>
    <row r="44" customFormat="false" ht="15" hidden="false" customHeight="false" outlineLevel="0" collapsed="false">
      <c r="A44" s="13" t="s">
        <v>63</v>
      </c>
      <c r="B44" s="13" t="n">
        <f aca="false">SUM(B5:B43)</f>
        <v>5045</v>
      </c>
      <c r="C44" s="14" t="n">
        <f aca="false">SUM(C5:C43)</f>
        <v>35904</v>
      </c>
      <c r="D44" s="14" t="n">
        <f aca="false">SUM(D5:D43)</f>
        <v>40212.48</v>
      </c>
      <c r="E44" s="13" t="n">
        <f aca="false">SUM(E5:E43)</f>
        <v>39983</v>
      </c>
      <c r="F44" s="15"/>
      <c r="G44" s="15"/>
      <c r="H44" s="16" t="n">
        <f aca="false">SUM(H5:H43)</f>
        <v>360812.652949023</v>
      </c>
      <c r="I44" s="15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7" t="s">
        <v>64</v>
      </c>
    </row>
    <row r="2" customFormat="false" ht="15" hidden="false" customHeight="false" outlineLevel="0" collapsed="false">
      <c r="A2" s="0" t="s">
        <v>65</v>
      </c>
      <c r="B2" s="18" t="n">
        <f aca="false">'Rep IC Model'!C44/COUNTA('Rep IC Model'!A5:A43)</f>
        <v>920.615384615385</v>
      </c>
      <c r="C2" s="4" t="s">
        <v>66</v>
      </c>
    </row>
    <row r="4" customFormat="false" ht="15" hidden="false" customHeight="false" outlineLevel="0" collapsed="false">
      <c r="A4" s="0" t="s">
        <v>67</v>
      </c>
      <c r="B4" s="19" t="n">
        <v>0.219</v>
      </c>
      <c r="C4" s="4" t="s">
        <v>68</v>
      </c>
    </row>
    <row r="6" customFormat="false" ht="15" hidden="false" customHeight="false" outlineLevel="0" collapsed="false">
      <c r="A6" s="20" t="s">
        <v>69</v>
      </c>
    </row>
    <row r="7" customFormat="false" ht="15" hidden="false" customHeight="false" outlineLevel="0" collapsed="false">
      <c r="A7" s="21" t="s">
        <v>70</v>
      </c>
      <c r="B7" s="22" t="n">
        <v>34</v>
      </c>
    </row>
    <row r="8" customFormat="false" ht="15" hidden="false" customHeight="false" outlineLevel="0" collapsed="false">
      <c r="A8" s="21" t="s">
        <v>71</v>
      </c>
      <c r="B8" s="22" t="n">
        <v>3</v>
      </c>
    </row>
    <row r="9" customFormat="false" ht="15" hidden="false" customHeight="false" outlineLevel="0" collapsed="false">
      <c r="A9" s="21" t="s">
        <v>72</v>
      </c>
      <c r="B9" s="22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2026-08-15T10:48:22Z</dcterms:created>
  <dc:creator>openpyxl</dc:creator>
  <dc:description/>
  <dc:language>en-US</dc:language>
  <cp:lastModifiedBy/>
  <dcterms:modified xsi:type="dcterms:W3CDTF">2026-08-15T10:48:22Z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